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lexi\OneDrive\Documents\HTML PROJECTS\Sumalpong Platform Activities\excels n other stuff\"/>
    </mc:Choice>
  </mc:AlternateContent>
  <bookViews>
    <workbookView xWindow="0" yWindow="0" windowWidth="20490" windowHeight="7575"/>
  </bookViews>
  <sheets>
    <sheet name="Quiz" sheetId="3" r:id="rId1"/>
    <sheet name="Answer Key" sheetId="4" r:id="rId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4" l="1"/>
  <c r="H2" i="4"/>
  <c r="F12" i="4"/>
  <c r="E12" i="4"/>
  <c r="C12" i="4"/>
  <c r="B12" i="4"/>
  <c r="F11" i="4"/>
  <c r="E11" i="4"/>
  <c r="C11" i="4"/>
  <c r="B11" i="4"/>
  <c r="F10" i="4"/>
  <c r="E10" i="4"/>
  <c r="C10" i="4"/>
  <c r="B10" i="4"/>
  <c r="F9" i="4"/>
  <c r="E9" i="4"/>
  <c r="C9" i="4"/>
  <c r="B9" i="4"/>
  <c r="F8" i="4"/>
  <c r="E8" i="4"/>
  <c r="C8" i="4"/>
  <c r="B8" i="4"/>
  <c r="F7" i="4"/>
  <c r="E7" i="4"/>
  <c r="C7" i="4"/>
  <c r="B7" i="4"/>
  <c r="F6" i="4"/>
  <c r="E6" i="4"/>
  <c r="C6" i="4"/>
  <c r="B6" i="4"/>
  <c r="F5" i="4"/>
  <c r="E5" i="4"/>
  <c r="C5" i="4"/>
  <c r="B5" i="4"/>
  <c r="F4" i="4"/>
  <c r="E4" i="4"/>
  <c r="C4" i="4"/>
  <c r="B4" i="4"/>
  <c r="F3" i="4"/>
  <c r="E3" i="4"/>
  <c r="C3" i="4"/>
  <c r="B3" i="4"/>
  <c r="C1" i="4"/>
</calcChain>
</file>

<file path=xl/sharedStrings.xml><?xml version="1.0" encoding="utf-8"?>
<sst xmlns="http://schemas.openxmlformats.org/spreadsheetml/2006/main" count="114" uniqueCount="110">
  <si>
    <t>General Knowledge Quiz</t>
  </si>
  <si>
    <t xml:space="preserve">Name: </t>
  </si>
  <si>
    <t>Alexis Ann R. Sumalpong</t>
  </si>
  <si>
    <t>No.</t>
  </si>
  <si>
    <t>Questions</t>
  </si>
  <si>
    <t>A</t>
  </si>
  <si>
    <t>B</t>
  </si>
  <si>
    <t>C</t>
  </si>
  <si>
    <t>D</t>
  </si>
  <si>
    <t>Answer</t>
  </si>
  <si>
    <t>What is the capital of the Republic of the Philippines?</t>
  </si>
  <si>
    <t>Quezon City</t>
  </si>
  <si>
    <t>Manila</t>
  </si>
  <si>
    <t>Davao City</t>
  </si>
  <si>
    <t>Iloilo City</t>
  </si>
  <si>
    <t>Name of the oldest city.</t>
  </si>
  <si>
    <t>Bohon</t>
  </si>
  <si>
    <t>Boracay</t>
  </si>
  <si>
    <t>Cebu</t>
  </si>
  <si>
    <t>Palawan</t>
  </si>
  <si>
    <t>Where is the highest peak in the Philippines?</t>
  </si>
  <si>
    <t>Mount Pulag</t>
  </si>
  <si>
    <t>Mount Apo</t>
  </si>
  <si>
    <t>Mount Kanlaon</t>
  </si>
  <si>
    <t>Mayon Volcano</t>
  </si>
  <si>
    <t>What does "www" stands for in a website browser?</t>
  </si>
  <si>
    <t>Wild West Web</t>
  </si>
  <si>
    <t>Wired World Web</t>
  </si>
  <si>
    <t>World Wide Wonder</t>
  </si>
  <si>
    <t>World Wide Web</t>
  </si>
  <si>
    <t>What is "cynophobia"?</t>
  </si>
  <si>
    <t>Fear of dogs</t>
  </si>
  <si>
    <t>Fear of corn</t>
  </si>
  <si>
    <t>Fear of wolf</t>
  </si>
  <si>
    <t>Fear of water</t>
  </si>
  <si>
    <t>What punctuations mark ends an imperative sentence?</t>
  </si>
  <si>
    <t>Period</t>
  </si>
  <si>
    <t>Exclamation Mark</t>
  </si>
  <si>
    <t>It's both A &amp; B.</t>
  </si>
  <si>
    <t>?</t>
  </si>
  <si>
    <t xml:space="preserve">Who named the Pacific Ocean? </t>
  </si>
  <si>
    <t>James Cook</t>
  </si>
  <si>
    <t>Albert Eisten</t>
  </si>
  <si>
    <t>Ferdinand Magellan</t>
  </si>
  <si>
    <t>Your mom.</t>
  </si>
  <si>
    <t>What is the name of the World's largest ocean?</t>
  </si>
  <si>
    <t>Atlantic Ocean</t>
  </si>
  <si>
    <t>Pacific Ocean</t>
  </si>
  <si>
    <t>Philippine Ocean</t>
  </si>
  <si>
    <t>Indian Ocean</t>
  </si>
  <si>
    <t>What's the fastest land animal?</t>
  </si>
  <si>
    <t>Lion</t>
  </si>
  <si>
    <t>Cheetah</t>
  </si>
  <si>
    <t>Sloth</t>
  </si>
  <si>
    <t>Leopard</t>
  </si>
  <si>
    <t>How many colors are there in the rainbow?</t>
  </si>
  <si>
    <t>six</t>
  </si>
  <si>
    <t>eight</t>
  </si>
  <si>
    <t>seven</t>
  </si>
  <si>
    <t>nine</t>
  </si>
  <si>
    <t>What color is ruby?</t>
  </si>
  <si>
    <t>Green</t>
  </si>
  <si>
    <t>Blue</t>
  </si>
  <si>
    <t>Red</t>
  </si>
  <si>
    <t>Purple</t>
  </si>
  <si>
    <t>What is the loudest animal on Earth?</t>
  </si>
  <si>
    <t>Blue Whale</t>
  </si>
  <si>
    <t>Elephant</t>
  </si>
  <si>
    <t>Sperm Whale</t>
  </si>
  <si>
    <t>How many hearts does an octupus have?</t>
  </si>
  <si>
    <t>No. It's 8</t>
  </si>
  <si>
    <t>I think 6.</t>
  </si>
  <si>
    <t>Maybe, 10.</t>
  </si>
  <si>
    <t>Uhmm... it's 3</t>
  </si>
  <si>
    <t>What is the shortcut for the "copy" function on most computers?</t>
  </si>
  <si>
    <t>Ctrl + C</t>
  </si>
  <si>
    <t>Alt + C</t>
  </si>
  <si>
    <t>Shift + C</t>
  </si>
  <si>
    <t>Caps + C</t>
  </si>
  <si>
    <t>Is Java a type of OS?</t>
  </si>
  <si>
    <t>Yes</t>
  </si>
  <si>
    <t>No</t>
  </si>
  <si>
    <t>Maybe</t>
  </si>
  <si>
    <t>I don't know</t>
  </si>
  <si>
    <t>What is the symbol for potassium?</t>
  </si>
  <si>
    <t>K</t>
  </si>
  <si>
    <t>P</t>
  </si>
  <si>
    <t>uM</t>
  </si>
  <si>
    <t>Na</t>
  </si>
  <si>
    <t>What percentage of our bodies is made up of water?</t>
  </si>
  <si>
    <t>60-65%</t>
  </si>
  <si>
    <t>50-55%</t>
  </si>
  <si>
    <t>70-75%</t>
  </si>
  <si>
    <t>Which bone are babies born without?</t>
  </si>
  <si>
    <t>Skull</t>
  </si>
  <si>
    <t xml:space="preserve">Knee cap </t>
  </si>
  <si>
    <t>Femur</t>
  </si>
  <si>
    <t>Spine</t>
  </si>
  <si>
    <t>What is the largest human organ?</t>
  </si>
  <si>
    <t xml:space="preserve">Skin </t>
  </si>
  <si>
    <t>Heart</t>
  </si>
  <si>
    <t>Brain</t>
  </si>
  <si>
    <t>Stomach</t>
  </si>
  <si>
    <t>What does the acronym AIDS stand for?</t>
  </si>
  <si>
    <t>Acquired Immune Deficiency Syndrome</t>
  </si>
  <si>
    <t>Advanced Immune Disorder Syndrome</t>
  </si>
  <si>
    <t>Absolute Immune Disorder Syndrome</t>
  </si>
  <si>
    <t>Acute Infectious Disease Syndrome</t>
  </si>
  <si>
    <t>Score</t>
  </si>
  <si>
    <t>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</si>
</sst>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;;;"/>
  </numFmts>
  <fonts count="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0.79992065187536243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5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35">
    <xf numFmtId="0" fontId="0" fillId="0" borderId="0" xfId="0"/>
    <xf numFmtId="0" fontId="1" fillId="2" borderId="1" xfId="0" applyFont="1" applyFill="1" applyBorder="1" applyAlignment="1"/>
    <xf numFmtId="0" fontId="1" fillId="2" borderId="2" xfId="0" applyFont="1" applyFill="1" applyBorder="1"/>
    <xf numFmtId="0" fontId="0" fillId="0" borderId="2" xfId="0" applyBorder="1"/>
    <xf numFmtId="0" fontId="0" fillId="2" borderId="2" xfId="0" applyFill="1" applyBorder="1"/>
    <xf numFmtId="9" fontId="0" fillId="0" borderId="2" xfId="1" applyFont="1" applyBorder="1"/>
    <xf numFmtId="0" fontId="0" fillId="0" borderId="1" xfId="0" applyBorder="1"/>
    <xf numFmtId="0" fontId="0" fillId="0" borderId="1" xfId="0" applyBorder="1" applyAlignment="1">
      <alignment horizontal="center"/>
    </xf>
    <xf numFmtId="164" fontId="0" fillId="0" borderId="0" xfId="0" applyNumberFormat="1"/>
    <xf numFmtId="0" fontId="0" fillId="0" borderId="1" xfId="0" applyFont="1" applyBorder="1"/>
    <xf numFmtId="0" fontId="0" fillId="0" borderId="1" xfId="0" applyFont="1" applyBorder="1" applyAlignment="1">
      <alignment horizontal="center"/>
    </xf>
    <xf numFmtId="0" fontId="0" fillId="0" borderId="0" xfId="0" applyAlignment="1">
      <alignment wrapText="1"/>
    </xf>
    <xf numFmtId="0" fontId="1" fillId="3" borderId="1" xfId="0" applyFont="1" applyFill="1" applyBorder="1" applyAlignment="1"/>
    <xf numFmtId="0" fontId="0" fillId="0" borderId="0" xfId="0" applyFont="1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4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9" fontId="0" fillId="0" borderId="1" xfId="0" applyNumberFormat="1" applyBorder="1" applyAlignment="1">
      <alignment horizontal="left" wrapText="1"/>
    </xf>
    <xf numFmtId="0" fontId="0" fillId="0" borderId="1" xfId="0" applyFont="1" applyBorder="1" applyAlignment="1">
      <alignment wrapText="1"/>
    </xf>
    <xf numFmtId="0" fontId="1" fillId="2" borderId="1" xfId="0" applyFont="1" applyFill="1" applyBorder="1" applyAlignment="1">
      <alignment horizontal="center" wrapText="1"/>
    </xf>
    <xf numFmtId="0" fontId="0" fillId="3" borderId="3" xfId="0" applyFont="1" applyFill="1" applyBorder="1" applyAlignment="1">
      <alignment horizontal="left"/>
    </xf>
    <xf numFmtId="0" fontId="0" fillId="3" borderId="4" xfId="0" applyFont="1" applyFill="1" applyBorder="1" applyAlignment="1">
      <alignment horizontal="left"/>
    </xf>
    <xf numFmtId="0" fontId="0" fillId="3" borderId="5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1" fillId="0" borderId="3" xfId="0" applyFont="1" applyBorder="1" applyAlignment="1">
      <alignment horizontal="left" wrapText="1"/>
    </xf>
    <xf numFmtId="0" fontId="1" fillId="0" borderId="4" xfId="0" applyFont="1" applyBorder="1" applyAlignment="1">
      <alignment horizontal="left" wrapText="1"/>
    </xf>
    <xf numFmtId="0" fontId="1" fillId="0" borderId="5" xfId="0" applyFont="1" applyBorder="1" applyAlignment="1">
      <alignment horizontal="left" wrapText="1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left"/>
    </xf>
    <xf numFmtId="0" fontId="1" fillId="5" borderId="4" xfId="0" applyFont="1" applyFill="1" applyBorder="1" applyAlignment="1">
      <alignment horizontal="left"/>
    </xf>
    <xf numFmtId="0" fontId="1" fillId="5" borderId="5" xfId="0" applyFont="1" applyFill="1" applyBorder="1" applyAlignment="1">
      <alignment horizontal="left"/>
    </xf>
  </cellXfs>
  <cellStyles count="2">
    <cellStyle name="Normal" xfId="0" builtinId="0"/>
    <cellStyle name="Percent" xfId="1" builtinId="5"/>
  </cellStyles>
  <dxfs count="23"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95249</xdr:colOff>
      <xdr:row>2</xdr:row>
      <xdr:rowOff>182721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884226" cy="56372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7"/>
  <sheetViews>
    <sheetView tabSelected="1" zoomScale="110" zoomScaleNormal="110" workbookViewId="0">
      <selection activeCell="M9" sqref="M9"/>
    </sheetView>
  </sheetViews>
  <sheetFormatPr defaultColWidth="9" defaultRowHeight="15"/>
  <cols>
    <col min="7" max="7" width="5.140625" customWidth="1"/>
    <col min="8" max="8" width="9.140625" hidden="1" customWidth="1"/>
    <col min="9" max="9" width="13" customWidth="1"/>
    <col min="10" max="10" width="14" customWidth="1"/>
    <col min="11" max="11" width="14.85546875" customWidth="1"/>
    <col min="12" max="12" width="14.5703125" customWidth="1"/>
    <col min="13" max="13" width="16.42578125" customWidth="1"/>
  </cols>
  <sheetData>
    <row r="1" spans="1:16" ht="15" customHeight="1"/>
    <row r="2" spans="1:16">
      <c r="P2" s="11"/>
    </row>
    <row r="3" spans="1:16">
      <c r="P3" s="11"/>
    </row>
    <row r="4" spans="1:16">
      <c r="A4" s="21" t="s">
        <v>0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P4" s="11"/>
    </row>
    <row r="5" spans="1:16" ht="15" customHeight="1">
      <c r="A5" s="12" t="s">
        <v>1</v>
      </c>
      <c r="B5" s="22" t="s">
        <v>2</v>
      </c>
      <c r="C5" s="23"/>
      <c r="D5" s="23"/>
      <c r="E5" s="23"/>
      <c r="F5" s="23"/>
      <c r="G5" s="23"/>
      <c r="H5" s="23"/>
      <c r="I5" s="23"/>
      <c r="J5" s="23"/>
      <c r="K5" s="23"/>
      <c r="L5" s="23"/>
      <c r="M5" s="24"/>
      <c r="P5" s="13"/>
    </row>
    <row r="6" spans="1:16">
      <c r="A6" s="14" t="s">
        <v>3</v>
      </c>
      <c r="B6" s="29" t="s">
        <v>4</v>
      </c>
      <c r="C6" s="30"/>
      <c r="D6" s="30"/>
      <c r="E6" s="30"/>
      <c r="F6" s="30"/>
      <c r="G6" s="30"/>
      <c r="H6" s="31"/>
      <c r="I6" s="1" t="s">
        <v>5</v>
      </c>
      <c r="J6" s="1" t="s">
        <v>6</v>
      </c>
      <c r="K6" s="1" t="s">
        <v>7</v>
      </c>
      <c r="L6" s="1" t="s">
        <v>8</v>
      </c>
      <c r="M6" s="1" t="s">
        <v>9</v>
      </c>
    </row>
    <row r="7" spans="1:16" ht="15" customHeight="1">
      <c r="A7" s="15">
        <v>1</v>
      </c>
      <c r="B7" s="26" t="s">
        <v>10</v>
      </c>
      <c r="C7" s="27"/>
      <c r="D7" s="27"/>
      <c r="E7" s="27"/>
      <c r="F7" s="27"/>
      <c r="G7" s="27"/>
      <c r="H7" s="28"/>
      <c r="I7" s="16" t="s">
        <v>11</v>
      </c>
      <c r="J7" s="16" t="s">
        <v>12</v>
      </c>
      <c r="K7" s="16" t="s">
        <v>13</v>
      </c>
      <c r="L7" s="16" t="s">
        <v>14</v>
      </c>
      <c r="M7" s="17" t="s">
        <v>6</v>
      </c>
    </row>
    <row r="8" spans="1:16" ht="15" customHeight="1">
      <c r="A8" s="15">
        <v>2</v>
      </c>
      <c r="B8" s="26" t="s">
        <v>15</v>
      </c>
      <c r="C8" s="27"/>
      <c r="D8" s="27"/>
      <c r="E8" s="27"/>
      <c r="F8" s="27"/>
      <c r="G8" s="27"/>
      <c r="H8" s="28"/>
      <c r="I8" s="16" t="s">
        <v>16</v>
      </c>
      <c r="J8" s="16" t="s">
        <v>17</v>
      </c>
      <c r="K8" s="16" t="s">
        <v>18</v>
      </c>
      <c r="L8" s="16" t="s">
        <v>19</v>
      </c>
      <c r="M8" s="17" t="s">
        <v>7</v>
      </c>
    </row>
    <row r="9" spans="1:16" ht="30" customHeight="1">
      <c r="A9" s="15">
        <v>3</v>
      </c>
      <c r="B9" s="26" t="s">
        <v>20</v>
      </c>
      <c r="C9" s="27"/>
      <c r="D9" s="27"/>
      <c r="E9" s="27"/>
      <c r="F9" s="27"/>
      <c r="G9" s="27"/>
      <c r="H9" s="28"/>
      <c r="I9" s="16" t="s">
        <v>21</v>
      </c>
      <c r="J9" s="16" t="s">
        <v>22</v>
      </c>
      <c r="K9" s="16" t="s">
        <v>23</v>
      </c>
      <c r="L9" s="16" t="s">
        <v>24</v>
      </c>
      <c r="M9" s="17"/>
    </row>
    <row r="10" spans="1:16" ht="30" customHeight="1">
      <c r="A10" s="15">
        <v>4</v>
      </c>
      <c r="B10" s="26" t="s">
        <v>25</v>
      </c>
      <c r="C10" s="27"/>
      <c r="D10" s="27"/>
      <c r="E10" s="27"/>
      <c r="F10" s="27"/>
      <c r="G10" s="27"/>
      <c r="H10" s="28"/>
      <c r="I10" s="16" t="s">
        <v>26</v>
      </c>
      <c r="J10" s="16" t="s">
        <v>27</v>
      </c>
      <c r="K10" s="16" t="s">
        <v>28</v>
      </c>
      <c r="L10" s="16" t="s">
        <v>29</v>
      </c>
      <c r="M10" s="17"/>
    </row>
    <row r="11" spans="1:16" ht="15" customHeight="1">
      <c r="A11" s="15">
        <v>5</v>
      </c>
      <c r="B11" s="26" t="s">
        <v>30</v>
      </c>
      <c r="C11" s="27"/>
      <c r="D11" s="27"/>
      <c r="E11" s="27"/>
      <c r="F11" s="27"/>
      <c r="G11" s="27"/>
      <c r="H11" s="28"/>
      <c r="I11" s="16" t="s">
        <v>31</v>
      </c>
      <c r="J11" s="16" t="s">
        <v>32</v>
      </c>
      <c r="K11" s="16" t="s">
        <v>33</v>
      </c>
      <c r="L11" s="16" t="s">
        <v>34</v>
      </c>
      <c r="M11" s="17"/>
    </row>
    <row r="12" spans="1:16" ht="30" customHeight="1">
      <c r="A12" s="15">
        <v>6</v>
      </c>
      <c r="B12" s="26" t="s">
        <v>35</v>
      </c>
      <c r="C12" s="27"/>
      <c r="D12" s="27"/>
      <c r="E12" s="27"/>
      <c r="F12" s="27"/>
      <c r="G12" s="27"/>
      <c r="H12" s="28"/>
      <c r="I12" s="16" t="s">
        <v>36</v>
      </c>
      <c r="J12" s="16" t="s">
        <v>37</v>
      </c>
      <c r="K12" s="16" t="s">
        <v>38</v>
      </c>
      <c r="L12" s="16" t="s">
        <v>39</v>
      </c>
      <c r="M12" s="17"/>
    </row>
    <row r="13" spans="1:16" ht="30" customHeight="1">
      <c r="A13" s="15">
        <v>7</v>
      </c>
      <c r="B13" s="26" t="s">
        <v>40</v>
      </c>
      <c r="C13" s="27"/>
      <c r="D13" s="27"/>
      <c r="E13" s="27"/>
      <c r="F13" s="27"/>
      <c r="G13" s="27"/>
      <c r="H13" s="28"/>
      <c r="I13" s="16" t="s">
        <v>41</v>
      </c>
      <c r="J13" s="16" t="s">
        <v>42</v>
      </c>
      <c r="K13" s="16" t="s">
        <v>43</v>
      </c>
      <c r="L13" s="16" t="s">
        <v>44</v>
      </c>
      <c r="M13" s="17"/>
    </row>
    <row r="14" spans="1:16" ht="30" customHeight="1">
      <c r="A14" s="15">
        <v>8</v>
      </c>
      <c r="B14" s="26" t="s">
        <v>45</v>
      </c>
      <c r="C14" s="27"/>
      <c r="D14" s="27"/>
      <c r="E14" s="27"/>
      <c r="F14" s="27"/>
      <c r="G14" s="27"/>
      <c r="H14" s="28"/>
      <c r="I14" s="16" t="s">
        <v>46</v>
      </c>
      <c r="J14" s="16" t="s">
        <v>47</v>
      </c>
      <c r="K14" s="16" t="s">
        <v>48</v>
      </c>
      <c r="L14" s="16" t="s">
        <v>49</v>
      </c>
      <c r="M14" s="18"/>
    </row>
    <row r="15" spans="1:16" ht="15" customHeight="1">
      <c r="A15" s="15">
        <v>9</v>
      </c>
      <c r="B15" s="26" t="s">
        <v>50</v>
      </c>
      <c r="C15" s="27"/>
      <c r="D15" s="27"/>
      <c r="E15" s="27"/>
      <c r="F15" s="27"/>
      <c r="G15" s="27"/>
      <c r="H15" s="28"/>
      <c r="I15" s="16" t="s">
        <v>51</v>
      </c>
      <c r="J15" s="16" t="s">
        <v>52</v>
      </c>
      <c r="K15" s="16" t="s">
        <v>53</v>
      </c>
      <c r="L15" s="16" t="s">
        <v>54</v>
      </c>
      <c r="M15" s="17"/>
    </row>
    <row r="16" spans="1:16" ht="15" customHeight="1">
      <c r="A16" s="15">
        <v>10</v>
      </c>
      <c r="B16" s="26" t="s">
        <v>55</v>
      </c>
      <c r="C16" s="27"/>
      <c r="D16" s="27"/>
      <c r="E16" s="27"/>
      <c r="F16" s="27"/>
      <c r="G16" s="27"/>
      <c r="H16" s="28"/>
      <c r="I16" s="16" t="s">
        <v>56</v>
      </c>
      <c r="J16" s="16" t="s">
        <v>57</v>
      </c>
      <c r="K16" s="16" t="s">
        <v>58</v>
      </c>
      <c r="L16" s="16" t="s">
        <v>59</v>
      </c>
      <c r="M16" s="17"/>
    </row>
    <row r="17" spans="1:13" ht="15" customHeight="1">
      <c r="A17" s="15">
        <v>11</v>
      </c>
      <c r="B17" s="26" t="s">
        <v>60</v>
      </c>
      <c r="C17" s="27"/>
      <c r="D17" s="27"/>
      <c r="E17" s="27"/>
      <c r="F17" s="27"/>
      <c r="G17" s="27"/>
      <c r="H17" s="28"/>
      <c r="I17" s="16" t="s">
        <v>61</v>
      </c>
      <c r="J17" s="16" t="s">
        <v>62</v>
      </c>
      <c r="K17" s="16" t="s">
        <v>63</v>
      </c>
      <c r="L17" s="16" t="s">
        <v>64</v>
      </c>
      <c r="M17" s="17"/>
    </row>
    <row r="18" spans="1:13" ht="15" customHeight="1">
      <c r="A18" s="15">
        <v>12</v>
      </c>
      <c r="B18" s="26" t="s">
        <v>65</v>
      </c>
      <c r="C18" s="27"/>
      <c r="D18" s="27"/>
      <c r="E18" s="27"/>
      <c r="F18" s="27"/>
      <c r="G18" s="27"/>
      <c r="H18" s="28"/>
      <c r="I18" s="16" t="s">
        <v>66</v>
      </c>
      <c r="J18" s="16" t="s">
        <v>67</v>
      </c>
      <c r="K18" s="16" t="s">
        <v>68</v>
      </c>
      <c r="L18" s="16" t="s">
        <v>51</v>
      </c>
      <c r="M18" s="17"/>
    </row>
    <row r="19" spans="1:13" ht="15" customHeight="1">
      <c r="A19" s="15">
        <v>13</v>
      </c>
      <c r="B19" s="26" t="s">
        <v>69</v>
      </c>
      <c r="C19" s="27"/>
      <c r="D19" s="27"/>
      <c r="E19" s="27"/>
      <c r="F19" s="27"/>
      <c r="G19" s="27"/>
      <c r="H19" s="28"/>
      <c r="I19" s="16" t="s">
        <v>70</v>
      </c>
      <c r="J19" s="16" t="s">
        <v>71</v>
      </c>
      <c r="K19" s="16" t="s">
        <v>72</v>
      </c>
      <c r="L19" s="16" t="s">
        <v>73</v>
      </c>
      <c r="M19" s="17"/>
    </row>
    <row r="20" spans="1:13" ht="15" customHeight="1">
      <c r="A20" s="15">
        <v>14</v>
      </c>
      <c r="B20" s="26" t="s">
        <v>74</v>
      </c>
      <c r="C20" s="27"/>
      <c r="D20" s="27"/>
      <c r="E20" s="27"/>
      <c r="F20" s="27"/>
      <c r="G20" s="27"/>
      <c r="H20" s="28"/>
      <c r="I20" s="16" t="s">
        <v>75</v>
      </c>
      <c r="J20" s="16" t="s">
        <v>76</v>
      </c>
      <c r="K20" s="16" t="s">
        <v>77</v>
      </c>
      <c r="L20" s="16" t="s">
        <v>78</v>
      </c>
      <c r="M20" s="17"/>
    </row>
    <row r="21" spans="1:13" ht="15" customHeight="1">
      <c r="A21" s="15">
        <v>15</v>
      </c>
      <c r="B21" s="26" t="s">
        <v>79</v>
      </c>
      <c r="C21" s="27"/>
      <c r="D21" s="27"/>
      <c r="E21" s="27"/>
      <c r="F21" s="27"/>
      <c r="G21" s="27"/>
      <c r="H21" s="28"/>
      <c r="I21" s="16" t="s">
        <v>80</v>
      </c>
      <c r="J21" s="16" t="s">
        <v>81</v>
      </c>
      <c r="K21" s="16" t="s">
        <v>82</v>
      </c>
      <c r="L21" s="16" t="s">
        <v>83</v>
      </c>
      <c r="M21" s="18"/>
    </row>
    <row r="22" spans="1:13" ht="15" customHeight="1">
      <c r="A22" s="15">
        <v>16</v>
      </c>
      <c r="B22" s="26" t="s">
        <v>84</v>
      </c>
      <c r="C22" s="27"/>
      <c r="D22" s="27"/>
      <c r="E22" s="27"/>
      <c r="F22" s="27"/>
      <c r="G22" s="27"/>
      <c r="H22" s="28"/>
      <c r="I22" s="16" t="s">
        <v>85</v>
      </c>
      <c r="J22" s="16" t="s">
        <v>86</v>
      </c>
      <c r="K22" s="16" t="s">
        <v>87</v>
      </c>
      <c r="L22" s="16" t="s">
        <v>88</v>
      </c>
      <c r="M22" s="18"/>
    </row>
    <row r="23" spans="1:13" ht="15" customHeight="1">
      <c r="A23" s="15">
        <v>17</v>
      </c>
      <c r="B23" s="26" t="s">
        <v>89</v>
      </c>
      <c r="C23" s="27"/>
      <c r="D23" s="27"/>
      <c r="E23" s="27"/>
      <c r="F23" s="27"/>
      <c r="G23" s="27"/>
      <c r="H23" s="28"/>
      <c r="I23" s="16" t="s">
        <v>90</v>
      </c>
      <c r="J23" s="16" t="s">
        <v>91</v>
      </c>
      <c r="K23" s="19">
        <v>1</v>
      </c>
      <c r="L23" s="16" t="s">
        <v>92</v>
      </c>
      <c r="M23" s="17"/>
    </row>
    <row r="24" spans="1:13" ht="15" customHeight="1">
      <c r="A24" s="15">
        <v>18</v>
      </c>
      <c r="B24" s="26" t="s">
        <v>93</v>
      </c>
      <c r="C24" s="27"/>
      <c r="D24" s="27"/>
      <c r="E24" s="27"/>
      <c r="F24" s="27"/>
      <c r="G24" s="27"/>
      <c r="H24" s="28"/>
      <c r="I24" s="16" t="s">
        <v>94</v>
      </c>
      <c r="J24" s="16" t="s">
        <v>95</v>
      </c>
      <c r="K24" s="16" t="s">
        <v>96</v>
      </c>
      <c r="L24" s="16" t="s">
        <v>97</v>
      </c>
      <c r="M24" s="17"/>
    </row>
    <row r="25" spans="1:13" ht="15" customHeight="1">
      <c r="A25" s="15">
        <v>19</v>
      </c>
      <c r="B25" s="26" t="s">
        <v>98</v>
      </c>
      <c r="C25" s="27"/>
      <c r="D25" s="27"/>
      <c r="E25" s="27"/>
      <c r="F25" s="27"/>
      <c r="G25" s="27"/>
      <c r="H25" s="28"/>
      <c r="I25" s="16" t="s">
        <v>99</v>
      </c>
      <c r="J25" s="16" t="s">
        <v>100</v>
      </c>
      <c r="K25" s="16" t="s">
        <v>101</v>
      </c>
      <c r="L25" s="16" t="s">
        <v>102</v>
      </c>
      <c r="M25" s="18"/>
    </row>
    <row r="26" spans="1:13" ht="60" customHeight="1">
      <c r="A26" s="15">
        <v>20</v>
      </c>
      <c r="B26" s="26" t="s">
        <v>103</v>
      </c>
      <c r="C26" s="27"/>
      <c r="D26" s="27"/>
      <c r="E26" s="27"/>
      <c r="F26" s="27"/>
      <c r="G26" s="27"/>
      <c r="H26" s="28"/>
      <c r="I26" s="16" t="s">
        <v>104</v>
      </c>
      <c r="J26" s="16" t="s">
        <v>105</v>
      </c>
      <c r="K26" s="20" t="s">
        <v>106</v>
      </c>
      <c r="L26" s="16" t="s">
        <v>107</v>
      </c>
      <c r="M26" s="17"/>
    </row>
    <row r="27" spans="1:13">
      <c r="A27" s="32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4"/>
    </row>
  </sheetData>
  <mergeCells count="24">
    <mergeCell ref="B7:H7"/>
    <mergeCell ref="B6:H6"/>
    <mergeCell ref="B24:H24"/>
    <mergeCell ref="B25:H25"/>
    <mergeCell ref="B26:H26"/>
    <mergeCell ref="A27:M27"/>
    <mergeCell ref="B8:H8"/>
    <mergeCell ref="B19:H19"/>
    <mergeCell ref="B20:H20"/>
    <mergeCell ref="B21:H21"/>
    <mergeCell ref="B22:H22"/>
    <mergeCell ref="B23:H23"/>
    <mergeCell ref="B14:H14"/>
    <mergeCell ref="B15:H15"/>
    <mergeCell ref="B16:H16"/>
    <mergeCell ref="B17:H17"/>
    <mergeCell ref="B18:H18"/>
    <mergeCell ref="B9:H9"/>
    <mergeCell ref="B10:H10"/>
    <mergeCell ref="B11:H11"/>
    <mergeCell ref="B12:H12"/>
    <mergeCell ref="B13:H13"/>
    <mergeCell ref="A4:M4"/>
    <mergeCell ref="B5:M5"/>
  </mergeCells>
  <pageMargins left="0.7" right="0.7" top="0.75" bottom="0.75" header="0.3" footer="0.3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"/>
  <sheetViews>
    <sheetView workbookViewId="0">
      <selection activeCell="M12" sqref="M12"/>
    </sheetView>
  </sheetViews>
  <sheetFormatPr defaultColWidth="9" defaultRowHeight="15"/>
  <cols>
    <col min="1" max="1" width="4.28515625" customWidth="1"/>
    <col min="2" max="2" width="4.42578125" customWidth="1"/>
    <col min="4" max="4" width="4.85546875" customWidth="1"/>
    <col min="5" max="5" width="4.42578125" customWidth="1"/>
    <col min="9" max="9" width="10.85546875" customWidth="1"/>
  </cols>
  <sheetData>
    <row r="1" spans="1:13">
      <c r="A1" s="1" t="s">
        <v>1</v>
      </c>
      <c r="B1" s="1"/>
      <c r="C1" s="25" t="str">
        <f>Quiz!B5</f>
        <v>Alexis Ann R. Sumalpong</v>
      </c>
      <c r="D1" s="25"/>
      <c r="E1" s="25"/>
      <c r="F1" s="25"/>
      <c r="G1" s="25"/>
      <c r="H1" s="25"/>
      <c r="I1" s="25"/>
      <c r="J1" s="25"/>
      <c r="K1" s="25"/>
      <c r="L1" s="25"/>
      <c r="M1" s="25"/>
    </row>
    <row r="2" spans="1:13">
      <c r="G2" s="2" t="s">
        <v>108</v>
      </c>
      <c r="H2" s="3">
        <f>COUNTIF(C3:F12,"1")</f>
        <v>2</v>
      </c>
      <c r="I2" s="4" t="s">
        <v>109</v>
      </c>
      <c r="J2" s="5">
        <f>H2/20</f>
        <v>0.1</v>
      </c>
    </row>
    <row r="3" spans="1:13">
      <c r="A3" s="6">
        <v>1</v>
      </c>
      <c r="B3" s="7" t="str">
        <f>Quiz!M7</f>
        <v>B</v>
      </c>
      <c r="C3" s="8" t="str">
        <f>IF(Quiz!M7="B","1","0")</f>
        <v>1</v>
      </c>
      <c r="D3" s="9">
        <v>11</v>
      </c>
      <c r="E3" s="10">
        <f>Quiz!M17</f>
        <v>0</v>
      </c>
      <c r="F3" s="8" t="str">
        <f>IF(Quiz!M17="C","1","0")</f>
        <v>0</v>
      </c>
    </row>
    <row r="4" spans="1:13">
      <c r="A4" s="6">
        <v>2</v>
      </c>
      <c r="B4" s="7" t="str">
        <f>Quiz!M8</f>
        <v>C</v>
      </c>
      <c r="C4" s="8" t="str">
        <f>IF(Quiz!M8="C","1","0")</f>
        <v>1</v>
      </c>
      <c r="D4" s="9">
        <v>12</v>
      </c>
      <c r="E4" s="10">
        <f>Quiz!M18</f>
        <v>0</v>
      </c>
      <c r="F4" s="8" t="str">
        <f>IF(Quiz!M18="C","1","0")</f>
        <v>0</v>
      </c>
    </row>
    <row r="5" spans="1:13">
      <c r="A5" s="6">
        <v>3</v>
      </c>
      <c r="B5" s="7">
        <f>Quiz!M9</f>
        <v>0</v>
      </c>
      <c r="C5" s="8" t="str">
        <f>IF(Quiz!M9="B","1","0")</f>
        <v>0</v>
      </c>
      <c r="D5" s="9">
        <v>13</v>
      </c>
      <c r="E5" s="10">
        <f>Quiz!M19</f>
        <v>0</v>
      </c>
      <c r="F5" s="8" t="str">
        <f>IF(Quiz!M19="D","1","0")</f>
        <v>0</v>
      </c>
    </row>
    <row r="6" spans="1:13">
      <c r="A6" s="6">
        <v>4</v>
      </c>
      <c r="B6" s="7">
        <f>Quiz!M10</f>
        <v>0</v>
      </c>
      <c r="C6" s="8" t="str">
        <f>IF(Quiz!M10="D","1","0")</f>
        <v>0</v>
      </c>
      <c r="D6" s="9">
        <v>14</v>
      </c>
      <c r="E6" s="10">
        <f>Quiz!M20</f>
        <v>0</v>
      </c>
      <c r="F6" s="8" t="str">
        <f>IF(Quiz!M20="A","1","0")</f>
        <v>0</v>
      </c>
    </row>
    <row r="7" spans="1:13">
      <c r="A7" s="6">
        <v>5</v>
      </c>
      <c r="B7" s="7">
        <f>Quiz!M11</f>
        <v>0</v>
      </c>
      <c r="C7" s="8" t="str">
        <f>IF(Quiz!M11="A","1","0")</f>
        <v>0</v>
      </c>
      <c r="D7" s="9">
        <v>15</v>
      </c>
      <c r="E7" s="10">
        <f>Quiz!M21</f>
        <v>0</v>
      </c>
      <c r="F7" s="8" t="str">
        <f>IF(Quiz!M21="B","1","0")</f>
        <v>0</v>
      </c>
    </row>
    <row r="8" spans="1:13">
      <c r="A8" s="6">
        <v>6</v>
      </c>
      <c r="B8" s="7">
        <f>Quiz!M12</f>
        <v>0</v>
      </c>
      <c r="C8" s="8" t="str">
        <f>IF(Quiz!M12="C","1","0")</f>
        <v>0</v>
      </c>
      <c r="D8" s="9">
        <v>16</v>
      </c>
      <c r="E8" s="10">
        <f>Quiz!M22</f>
        <v>0</v>
      </c>
      <c r="F8" s="8" t="str">
        <f>IF(Quiz!M22="A","1","0")</f>
        <v>0</v>
      </c>
    </row>
    <row r="9" spans="1:13">
      <c r="A9" s="6">
        <v>7</v>
      </c>
      <c r="B9" s="7">
        <f>Quiz!M13</f>
        <v>0</v>
      </c>
      <c r="C9" s="8" t="str">
        <f>IF(Quiz!M13="C","1","0")</f>
        <v>0</v>
      </c>
      <c r="D9" s="9">
        <v>17</v>
      </c>
      <c r="E9" s="10">
        <f>Quiz!M23</f>
        <v>0</v>
      </c>
      <c r="F9" s="8" t="str">
        <f>IF(Quiz!M23="A","1","0")</f>
        <v>0</v>
      </c>
    </row>
    <row r="10" spans="1:13">
      <c r="A10" s="6">
        <v>8</v>
      </c>
      <c r="B10" s="7">
        <f>Quiz!M14</f>
        <v>0</v>
      </c>
      <c r="C10" s="8" t="str">
        <f>IF(Quiz!M14="B","1","0")</f>
        <v>0</v>
      </c>
      <c r="D10" s="9">
        <v>18</v>
      </c>
      <c r="E10" s="10">
        <f>Quiz!M24</f>
        <v>0</v>
      </c>
      <c r="F10" s="8" t="str">
        <f>IF(Quiz!M24="B","1","0")</f>
        <v>0</v>
      </c>
    </row>
    <row r="11" spans="1:13">
      <c r="A11" s="6">
        <v>9</v>
      </c>
      <c r="B11" s="7">
        <f>Quiz!M15</f>
        <v>0</v>
      </c>
      <c r="C11" s="8" t="str">
        <f>IF(Quiz!M15="B","1","0")</f>
        <v>0</v>
      </c>
      <c r="D11" s="9">
        <v>19</v>
      </c>
      <c r="E11" s="10">
        <f>Quiz!M25</f>
        <v>0</v>
      </c>
      <c r="F11" s="8" t="str">
        <f>IF(Quiz!M25="A","1","0")</f>
        <v>0</v>
      </c>
    </row>
    <row r="12" spans="1:13">
      <c r="A12" s="6">
        <v>10</v>
      </c>
      <c r="B12" s="7">
        <f>Quiz!M16</f>
        <v>0</v>
      </c>
      <c r="C12" s="8" t="str">
        <f>IF(Quiz!M16="C","1","0")</f>
        <v>0</v>
      </c>
      <c r="D12" s="9">
        <v>20</v>
      </c>
      <c r="E12" s="10">
        <f>Quiz!M26</f>
        <v>0</v>
      </c>
      <c r="F12" s="8" t="str">
        <f>IF(Quiz!M26="A","1","0")</f>
        <v>0</v>
      </c>
    </row>
  </sheetData>
  <mergeCells count="1">
    <mergeCell ref="C1:M1"/>
  </mergeCells>
  <conditionalFormatting sqref="A3">
    <cfRule type="cellIs" dxfId="22" priority="27" operator="equal">
      <formula>0</formula>
    </cfRule>
  </conditionalFormatting>
  <conditionalFormatting sqref="B3">
    <cfRule type="expression" dxfId="21" priority="22">
      <formula>$B$3="B"</formula>
    </cfRule>
  </conditionalFormatting>
  <conditionalFormatting sqref="E3">
    <cfRule type="expression" dxfId="20" priority="11">
      <formula>$E$3="C"</formula>
    </cfRule>
  </conditionalFormatting>
  <conditionalFormatting sqref="B4">
    <cfRule type="expression" dxfId="19" priority="21">
      <formula>$B$4="C"</formula>
    </cfRule>
  </conditionalFormatting>
  <conditionalFormatting sqref="E4">
    <cfRule type="expression" dxfId="18" priority="10">
      <formula>$E$4="C"</formula>
    </cfRule>
  </conditionalFormatting>
  <conditionalFormatting sqref="B5">
    <cfRule type="expression" dxfId="17" priority="20">
      <formula>$B$5="B"</formula>
    </cfRule>
  </conditionalFormatting>
  <conditionalFormatting sqref="E5">
    <cfRule type="expression" dxfId="16" priority="9">
      <formula>$E$5="D"</formula>
    </cfRule>
  </conditionalFormatting>
  <conditionalFormatting sqref="B6">
    <cfRule type="expression" dxfId="15" priority="19">
      <formula>$B$6="D"</formula>
    </cfRule>
  </conditionalFormatting>
  <conditionalFormatting sqref="E6">
    <cfRule type="expression" dxfId="14" priority="8">
      <formula>$E$6="A"</formula>
    </cfRule>
  </conditionalFormatting>
  <conditionalFormatting sqref="B7">
    <cfRule type="expression" dxfId="13" priority="18">
      <formula>$B$7="A"</formula>
    </cfRule>
  </conditionalFormatting>
  <conditionalFormatting sqref="E7">
    <cfRule type="expression" dxfId="12" priority="7">
      <formula>$E$7="B"</formula>
    </cfRule>
  </conditionalFormatting>
  <conditionalFormatting sqref="B8">
    <cfRule type="expression" dxfId="11" priority="17">
      <formula>$B$8="C"</formula>
    </cfRule>
  </conditionalFormatting>
  <conditionalFormatting sqref="E8">
    <cfRule type="expression" dxfId="10" priority="6">
      <formula>$E$8="A"</formula>
    </cfRule>
  </conditionalFormatting>
  <conditionalFormatting sqref="B9">
    <cfRule type="expression" dxfId="9" priority="16">
      <formula>$B$9="C"</formula>
    </cfRule>
  </conditionalFormatting>
  <conditionalFormatting sqref="E9">
    <cfRule type="expression" dxfId="8" priority="5">
      <formula>$E$12="A"</formula>
    </cfRule>
  </conditionalFormatting>
  <conditionalFormatting sqref="B10">
    <cfRule type="expression" dxfId="7" priority="15">
      <formula>$B$10="B"</formula>
    </cfRule>
  </conditionalFormatting>
  <conditionalFormatting sqref="E10">
    <cfRule type="expression" dxfId="6" priority="3">
      <formula>$E$10="B"</formula>
    </cfRule>
  </conditionalFormatting>
  <conditionalFormatting sqref="B11">
    <cfRule type="expression" dxfId="5" priority="13">
      <formula>$B$11="B"</formula>
    </cfRule>
  </conditionalFormatting>
  <conditionalFormatting sqref="E11">
    <cfRule type="expression" dxfId="4" priority="2">
      <formula>$E$11="A"</formula>
    </cfRule>
  </conditionalFormatting>
  <conditionalFormatting sqref="B12">
    <cfRule type="expression" dxfId="3" priority="12">
      <formula>$B$12="C"</formula>
    </cfRule>
  </conditionalFormatting>
  <conditionalFormatting sqref="E12">
    <cfRule type="expression" dxfId="2" priority="1">
      <formula>$E$12="A"</formula>
    </cfRule>
  </conditionalFormatting>
  <conditionalFormatting sqref="C3:C12">
    <cfRule type="cellIs" dxfId="1" priority="25" operator="equal">
      <formula>Wrong</formula>
    </cfRule>
    <cfRule type="expression" dxfId="0" priority="26">
      <formula>$F$3="C"</formula>
    </cfRule>
  </conditionalFormatting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Quiz</vt:lpstr>
      <vt:lpstr>Answer Key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Alexis Ann</dc:creator>
  <cp:lastModifiedBy>Alexis Ann</cp:lastModifiedBy>
  <dcterms:created xsi:type="dcterms:W3CDTF">2026-04-12T01:49:00Z</dcterms:created>
  <dcterms:modified xsi:type="dcterms:W3CDTF">2026-04-29T00:11:51Z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83A79DEC51544FC1ADE8F043C61C4214_12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